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13_ncr:1_{188696B5-7FC4-40B3-BF49-6E921D615C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6" r:id="rId1"/>
  </sheets>
  <definedNames>
    <definedName name="tblParkActivityQuant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6" l="1"/>
  <c r="E64" i="16"/>
  <c r="F64" i="16"/>
  <c r="G64" i="16"/>
  <c r="H64" i="16"/>
  <c r="I64" i="16"/>
  <c r="J64" i="16"/>
  <c r="K64" i="16"/>
  <c r="L64" i="16"/>
  <c r="M64" i="16"/>
  <c r="N64" i="16"/>
  <c r="C64" i="16"/>
  <c r="O4" i="16"/>
  <c r="O10" i="16"/>
  <c r="O18" i="16"/>
  <c r="O26" i="16"/>
  <c r="O34" i="16"/>
  <c r="O42" i="16"/>
  <c r="O50" i="16"/>
  <c r="O58" i="16"/>
  <c r="O12" i="16"/>
  <c r="O44" i="16"/>
  <c r="O3" i="16"/>
  <c r="O11" i="16"/>
  <c r="O19" i="16"/>
  <c r="O20" i="16"/>
  <c r="O27" i="16"/>
  <c r="O28" i="16"/>
  <c r="O35" i="16"/>
  <c r="O36" i="16"/>
  <c r="O43" i="16"/>
  <c r="O51" i="16"/>
  <c r="O52" i="16"/>
  <c r="O59" i="16"/>
  <c r="O60" i="16"/>
  <c r="O2" i="16"/>
  <c r="O49" i="16" l="1"/>
  <c r="O33" i="16"/>
  <c r="O17" i="16"/>
  <c r="O56" i="16"/>
  <c r="O8" i="16"/>
  <c r="O57" i="16"/>
  <c r="O41" i="16"/>
  <c r="O25" i="16"/>
  <c r="O9" i="16"/>
  <c r="O48" i="16"/>
  <c r="O40" i="16"/>
  <c r="O32" i="16"/>
  <c r="O24" i="16"/>
  <c r="O16" i="16"/>
  <c r="O63" i="16"/>
  <c r="O55" i="16"/>
  <c r="O47" i="16"/>
  <c r="O39" i="16"/>
  <c r="O31" i="16"/>
  <c r="O23" i="16"/>
  <c r="O15" i="16"/>
  <c r="O7" i="16"/>
  <c r="O62" i="16"/>
  <c r="O54" i="16"/>
  <c r="O46" i="16"/>
  <c r="O38" i="16"/>
  <c r="O30" i="16"/>
  <c r="O22" i="16"/>
  <c r="O14" i="16"/>
  <c r="O6" i="16"/>
  <c r="O61" i="16"/>
  <c r="O53" i="16"/>
  <c r="O45" i="16"/>
  <c r="O37" i="16"/>
  <c r="O29" i="16"/>
  <c r="O21" i="16"/>
  <c r="O13" i="16"/>
  <c r="O5" i="16"/>
  <c r="O64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Keyel, Edward (Parks)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Keyel, Edward (Parks):</t>
        </r>
        <r>
          <rPr>
            <sz val="9"/>
            <color indexed="81"/>
            <rFont val="Tahoma"/>
            <family val="2"/>
          </rPr>
          <t xml:space="preserve">
From what I can tell, I followed the Capacity Equations correctly, yet my numbers tend to be largely different from the 2013, so this sheet is the adjustment</t>
        </r>
      </text>
    </comment>
    <comment ref="D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Keyel, Edward (Parks):</t>
        </r>
        <r>
          <rPr>
            <sz val="9"/>
            <color indexed="81"/>
            <rFont val="Tahoma"/>
            <family val="2"/>
          </rPr>
          <t xml:space="preserve">
I had zeros for camping in the NYC counties, which I think is probably closer to accurate than the values used in 2013. I am just going to use the Nassau Value as an estimate for the city, though I expect it to be high.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Keyel, Edward (Parks):</t>
        </r>
        <r>
          <rPr>
            <sz val="9"/>
            <color indexed="81"/>
            <rFont val="Tahoma"/>
            <family val="2"/>
          </rPr>
          <t xml:space="preserve">
I have no idea where their SnwM numbers come from, so I'm just going to use the 2013 numbers.</t>
        </r>
      </text>
    </comment>
  </commentList>
</comments>
</file>

<file path=xl/sharedStrings.xml><?xml version="1.0" encoding="utf-8"?>
<sst xmlns="http://schemas.openxmlformats.org/spreadsheetml/2006/main" count="140" uniqueCount="83">
  <si>
    <t>Scorp Zone</t>
  </si>
  <si>
    <t>County</t>
  </si>
  <si>
    <t>BOATS</t>
  </si>
  <si>
    <t>CAMPING</t>
  </si>
  <si>
    <t>COURT</t>
  </si>
  <si>
    <t>FIELD</t>
  </si>
  <si>
    <t>FISHING</t>
  </si>
  <si>
    <t>GOLF</t>
  </si>
  <si>
    <t>PARK</t>
  </si>
  <si>
    <t>SKI</t>
  </si>
  <si>
    <t>SNOWMOBILE</t>
  </si>
  <si>
    <t>SWIMMING</t>
  </si>
  <si>
    <t>TRAILS</t>
  </si>
  <si>
    <t>WINTER</t>
  </si>
  <si>
    <t>Comb</t>
  </si>
  <si>
    <t xml:space="preserve">Northern </t>
  </si>
  <si>
    <t>Albany</t>
  </si>
  <si>
    <t>Western</t>
  </si>
  <si>
    <t>Allegany</t>
  </si>
  <si>
    <t>Southern</t>
  </si>
  <si>
    <t>Bronx</t>
  </si>
  <si>
    <t>Central</t>
  </si>
  <si>
    <t>Broome</t>
  </si>
  <si>
    <t>Cattaraugus</t>
  </si>
  <si>
    <t>Cayuga</t>
  </si>
  <si>
    <t>Chautauqua</t>
  </si>
  <si>
    <t>Chemung</t>
  </si>
  <si>
    <t>Chenango</t>
  </si>
  <si>
    <t>Northern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</si>
  <si>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</si>
  <si>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</si>
  <si>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</si>
  <si>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</si>
  <si>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</si>
  <si>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</si>
  <si>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</si>
  <si>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</si>
  <si>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</si>
  <si>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</si>
  <si>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</si>
  <si>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</si>
  <si>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</si>
  <si>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</si>
  <si>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Kings</t>
  </si>
  <si>
    <t>Lewis</t>
  </si>
  <si>
    <t>Livingston</t>
  </si>
  <si>
    <t>Madison</t>
  </si>
  <si>
    <t>Monroe</t>
  </si>
  <si>
    <t>Montgomery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</si>
  <si>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</si>
  <si>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</si>
  <si>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</si>
  <si>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</si>
  <si>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</si>
  <si>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</si>
  <si>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</si>
  <si>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</si>
  <si>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</si>
  <si>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</si>
  <si>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</si>
  <si>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Queens</t>
  </si>
  <si>
    <t>Rensselaer</t>
  </si>
  <si>
    <t>Richmond</t>
  </si>
  <si>
    <t>Rockland</t>
  </si>
  <si>
    <t>Saint Lawrence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</si>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</sst>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workbookViewId="0">
      <selection activeCell="J25" sqref="J25"/>
    </sheetView>
  </sheetViews>
  <sheetFormatPr defaultRowHeight="14.4" x14ac:dyDescent="0.25"/>
  <cols>
    <col min="1" max="1" width="11.6640625" bestFit="1" customWidth="1"/>
    <col min="2" max="2" width="16.109375" bestFit="1" customWidth="1"/>
    <col min="3" max="3" width="12.77734375" bestFit="1" customWidth="1"/>
    <col min="4" max="4" width="11.6640625" bestFit="1" customWidth="1"/>
    <col min="5" max="5" width="12.77734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25">
      <c r="A2" t="s">
        <v>15</v>
      </c>
      <c r="B2" t="s">
        <v>16</v>
      </c>
      <c r="C2">
        <v>1082.0249999999999</v>
      </c>
      <c r="D2">
        <v>132.17750000000001</v>
      </c>
      <c r="E2">
        <v>2895.585</v>
      </c>
      <c r="F2">
        <v>585</v>
      </c>
      <c r="G2">
        <v>481.6</v>
      </c>
      <c r="H2">
        <v>295.05</v>
      </c>
      <c r="I2">
        <v>32367.592592592591</v>
      </c>
      <c r="J2">
        <v>440</v>
      </c>
      <c r="K2">
        <v>17</v>
      </c>
      <c r="L2">
        <v>1618.8032158935546</v>
      </c>
      <c r="M2">
        <v>1105.2</v>
      </c>
      <c r="N2">
        <v>1768.0000000000002</v>
      </c>
      <c r="O2">
        <f t="shared" ref="O2:O33" si="0">SUM(C2:N2)</f>
        <v>42788.033308486141</v>
      </c>
      <c r="S2" s="1"/>
    </row>
    <row r="3" spans="1:19" x14ac:dyDescent="0.25">
      <c r="A3" t="s">
        <v>17</v>
      </c>
      <c r="B3" t="s">
        <v>18</v>
      </c>
      <c r="C3">
        <v>162</v>
      </c>
      <c r="D3">
        <v>565.56500000000005</v>
      </c>
      <c r="E3">
        <v>255.75</v>
      </c>
      <c r="F3">
        <v>67.5</v>
      </c>
      <c r="G3">
        <v>392.00000000000006</v>
      </c>
      <c r="H3">
        <v>102.06</v>
      </c>
      <c r="I3">
        <v>5007.4074074074069</v>
      </c>
      <c r="J3">
        <v>352</v>
      </c>
      <c r="K3">
        <v>369</v>
      </c>
      <c r="L3">
        <v>795.83840820312503</v>
      </c>
      <c r="M3">
        <v>381.59999999999997</v>
      </c>
      <c r="N3">
        <v>139.4</v>
      </c>
      <c r="O3">
        <f t="shared" si="0"/>
        <v>8590.1208156105313</v>
      </c>
      <c r="S3" s="1"/>
    </row>
    <row r="4" spans="1:19" x14ac:dyDescent="0.25">
      <c r="A4" t="s">
        <v>19</v>
      </c>
      <c r="B4" t="s">
        <v>20</v>
      </c>
      <c r="C4">
        <v>3911.625</v>
      </c>
      <c r="D4">
        <v>40</v>
      </c>
      <c r="E4">
        <v>6438.96</v>
      </c>
      <c r="F4">
        <v>166.5</v>
      </c>
      <c r="G4">
        <v>117.60000000000001</v>
      </c>
      <c r="H4">
        <v>63.12</v>
      </c>
      <c r="I4">
        <v>6006.4814814814808</v>
      </c>
      <c r="J4">
        <v>176</v>
      </c>
      <c r="K4">
        <v>52.6</v>
      </c>
      <c r="L4">
        <v>564.11601984024117</v>
      </c>
      <c r="M4">
        <v>475.2</v>
      </c>
      <c r="N4">
        <v>199.75000000000003</v>
      </c>
      <c r="O4">
        <f t="shared" si="0"/>
        <v>18211.952501321721</v>
      </c>
      <c r="S4" s="1"/>
    </row>
    <row r="5" spans="1:19" x14ac:dyDescent="0.25">
      <c r="A5" t="s">
        <v>21</v>
      </c>
      <c r="B5" t="s">
        <v>22</v>
      </c>
      <c r="C5">
        <v>526.5</v>
      </c>
      <c r="D5">
        <v>460.68750000000006</v>
      </c>
      <c r="E5">
        <v>1686.63</v>
      </c>
      <c r="F5">
        <v>288</v>
      </c>
      <c r="G5">
        <v>425.6</v>
      </c>
      <c r="H5">
        <v>316.70999999999998</v>
      </c>
      <c r="I5">
        <v>39746.296296296292</v>
      </c>
      <c r="J5">
        <v>352</v>
      </c>
      <c r="K5">
        <v>119</v>
      </c>
      <c r="L5">
        <v>1867.9242646520995</v>
      </c>
      <c r="M5">
        <v>782.28</v>
      </c>
      <c r="N5">
        <v>1303.0500000000002</v>
      </c>
      <c r="O5">
        <f t="shared" si="0"/>
        <v>47874.678060948398</v>
      </c>
      <c r="S5" s="1"/>
    </row>
    <row r="6" spans="1:19" x14ac:dyDescent="0.25">
      <c r="A6" t="s">
        <v>17</v>
      </c>
      <c r="B6" t="s">
        <v>23</v>
      </c>
      <c r="C6">
        <v>1102.95</v>
      </c>
      <c r="D6">
        <v>932.75000000000011</v>
      </c>
      <c r="E6">
        <v>514.80000000000007</v>
      </c>
      <c r="F6">
        <v>195.75</v>
      </c>
      <c r="G6">
        <v>828.80000000000007</v>
      </c>
      <c r="H6">
        <v>118.94999999999999</v>
      </c>
      <c r="I6">
        <v>17826.85185185185</v>
      </c>
      <c r="J6">
        <v>1056</v>
      </c>
      <c r="K6">
        <v>337</v>
      </c>
      <c r="L6">
        <v>1522.1304138427734</v>
      </c>
      <c r="M6">
        <v>3166.2</v>
      </c>
      <c r="N6">
        <v>450.50000000000006</v>
      </c>
      <c r="O6">
        <f t="shared" si="0"/>
        <v>28052.682265694624</v>
      </c>
      <c r="S6" s="1"/>
    </row>
    <row r="7" spans="1:19" x14ac:dyDescent="0.25">
      <c r="A7" t="s">
        <v>21</v>
      </c>
      <c r="B7" t="s">
        <v>24</v>
      </c>
      <c r="C7">
        <v>2541.375</v>
      </c>
      <c r="D7">
        <v>568.52250000000004</v>
      </c>
      <c r="E7">
        <v>535.59</v>
      </c>
      <c r="F7">
        <v>180</v>
      </c>
      <c r="G7">
        <v>380.8</v>
      </c>
      <c r="H7">
        <v>167.94</v>
      </c>
      <c r="I7">
        <v>18127.777777777777</v>
      </c>
      <c r="J7">
        <v>176</v>
      </c>
      <c r="K7">
        <v>262</v>
      </c>
      <c r="L7">
        <v>1720.8010556372074</v>
      </c>
      <c r="M7">
        <v>504</v>
      </c>
      <c r="N7">
        <v>671.5</v>
      </c>
      <c r="O7">
        <f t="shared" si="0"/>
        <v>25836.306333414985</v>
      </c>
      <c r="S7" s="1"/>
    </row>
    <row r="8" spans="1:19" x14ac:dyDescent="0.25">
      <c r="A8" t="s">
        <v>17</v>
      </c>
      <c r="B8" t="s">
        <v>25</v>
      </c>
      <c r="C8">
        <v>3996</v>
      </c>
      <c r="D8">
        <v>771.68000000000006</v>
      </c>
      <c r="E8">
        <v>878.46</v>
      </c>
      <c r="F8">
        <v>261</v>
      </c>
      <c r="G8">
        <v>996.80000000000007</v>
      </c>
      <c r="H8">
        <v>281.45999999999998</v>
      </c>
      <c r="I8">
        <v>25337.96296296296</v>
      </c>
      <c r="J8">
        <v>704</v>
      </c>
      <c r="K8">
        <v>421</v>
      </c>
      <c r="L8">
        <v>3560.9028320114139</v>
      </c>
      <c r="M8">
        <v>870.48</v>
      </c>
      <c r="N8">
        <v>471.75000000000006</v>
      </c>
      <c r="O8">
        <f t="shared" si="0"/>
        <v>38551.495794974377</v>
      </c>
    </row>
    <row r="9" spans="1:19" x14ac:dyDescent="0.25">
      <c r="A9" t="s">
        <v>21</v>
      </c>
      <c r="B9" t="s">
        <v>26</v>
      </c>
      <c r="C9">
        <v>81</v>
      </c>
      <c r="D9">
        <v>105.56000000000002</v>
      </c>
      <c r="E9">
        <v>1039.5</v>
      </c>
      <c r="F9">
        <v>328.5</v>
      </c>
      <c r="G9">
        <v>123.20000000000002</v>
      </c>
      <c r="H9">
        <v>172.2</v>
      </c>
      <c r="I9">
        <v>13806.48148148148</v>
      </c>
      <c r="J9">
        <v>132</v>
      </c>
      <c r="K9">
        <v>13</v>
      </c>
      <c r="L9">
        <v>349.98600085449215</v>
      </c>
      <c r="M9">
        <v>316.8</v>
      </c>
      <c r="N9">
        <v>265.20000000000005</v>
      </c>
      <c r="O9">
        <f t="shared" si="0"/>
        <v>16733.427482335974</v>
      </c>
      <c r="S9" s="1"/>
    </row>
    <row r="10" spans="1:19" x14ac:dyDescent="0.25">
      <c r="A10" t="s">
        <v>21</v>
      </c>
      <c r="B10" t="s">
        <v>27</v>
      </c>
      <c r="C10">
        <v>648</v>
      </c>
      <c r="D10">
        <v>277.55</v>
      </c>
      <c r="E10">
        <v>647.46</v>
      </c>
      <c r="F10">
        <v>263.25</v>
      </c>
      <c r="G10">
        <v>330.40000000000003</v>
      </c>
      <c r="H10">
        <v>84.99</v>
      </c>
      <c r="I10">
        <v>7149.9999999999991</v>
      </c>
      <c r="J10">
        <v>660</v>
      </c>
      <c r="K10">
        <v>310</v>
      </c>
      <c r="L10">
        <v>591.75508608398445</v>
      </c>
      <c r="M10">
        <v>482.4</v>
      </c>
      <c r="N10">
        <v>223.55</v>
      </c>
      <c r="O10">
        <f t="shared" si="0"/>
        <v>11669.35508608398</v>
      </c>
    </row>
    <row r="11" spans="1:19" x14ac:dyDescent="0.25">
      <c r="A11" t="s">
        <v>28</v>
      </c>
      <c r="B11" t="s">
        <v>29</v>
      </c>
      <c r="C11">
        <v>3916.35</v>
      </c>
      <c r="D11">
        <v>714.5775000000001</v>
      </c>
      <c r="E11">
        <v>1802.13</v>
      </c>
      <c r="F11">
        <v>393.75</v>
      </c>
      <c r="G11">
        <v>582.40000000000009</v>
      </c>
      <c r="H11">
        <v>104.19</v>
      </c>
      <c r="I11">
        <v>57874.074074074073</v>
      </c>
      <c r="J11">
        <v>176</v>
      </c>
      <c r="K11">
        <v>314</v>
      </c>
      <c r="L11">
        <v>2125.9803765258785</v>
      </c>
      <c r="M11">
        <v>771.83999999999992</v>
      </c>
      <c r="N11">
        <v>492.15000000000003</v>
      </c>
      <c r="O11">
        <f t="shared" si="0"/>
        <v>69267.441950599939</v>
      </c>
      <c r="S11" s="1"/>
    </row>
    <row r="12" spans="1:19" x14ac:dyDescent="0.25">
      <c r="A12" t="s">
        <v>19</v>
      </c>
      <c r="B12" t="s">
        <v>30</v>
      </c>
      <c r="C12">
        <v>1368.2249999999999</v>
      </c>
      <c r="D12">
        <v>403.81250000000006</v>
      </c>
      <c r="E12">
        <v>651.75</v>
      </c>
      <c r="F12">
        <v>135</v>
      </c>
      <c r="G12">
        <v>313.60000000000002</v>
      </c>
      <c r="H12">
        <v>87.39</v>
      </c>
      <c r="I12">
        <v>15311.111111111109</v>
      </c>
      <c r="J12">
        <v>352</v>
      </c>
      <c r="K12">
        <v>10</v>
      </c>
      <c r="L12">
        <v>874.26081298828194</v>
      </c>
      <c r="M12">
        <v>901.43999999999994</v>
      </c>
      <c r="N12">
        <v>333.03000000000003</v>
      </c>
      <c r="O12">
        <f t="shared" si="0"/>
        <v>20741.61942409939</v>
      </c>
      <c r="S12" s="1"/>
    </row>
    <row r="13" spans="1:19" x14ac:dyDescent="0.25">
      <c r="A13" t="s">
        <v>21</v>
      </c>
      <c r="B13" t="s">
        <v>31</v>
      </c>
      <c r="C13">
        <v>496.125</v>
      </c>
      <c r="D13">
        <v>225.45250000000001</v>
      </c>
      <c r="E13">
        <v>585.75</v>
      </c>
      <c r="F13">
        <v>153</v>
      </c>
      <c r="G13">
        <v>324.8</v>
      </c>
      <c r="H13">
        <v>116.46</v>
      </c>
      <c r="I13">
        <v>5356.4814814814808</v>
      </c>
      <c r="J13">
        <v>880</v>
      </c>
      <c r="K13">
        <v>10</v>
      </c>
      <c r="L13">
        <v>1215.1104235839841</v>
      </c>
      <c r="M13">
        <v>338.4</v>
      </c>
      <c r="N13">
        <v>430.1</v>
      </c>
      <c r="O13">
        <f t="shared" si="0"/>
        <v>10131.679405065464</v>
      </c>
      <c r="S13" s="1"/>
    </row>
    <row r="14" spans="1:19" x14ac:dyDescent="0.25">
      <c r="A14" t="s">
        <v>21</v>
      </c>
      <c r="B14" t="s">
        <v>32</v>
      </c>
      <c r="C14">
        <v>445.5</v>
      </c>
      <c r="D14">
        <v>514.15000000000009</v>
      </c>
      <c r="E14">
        <v>693</v>
      </c>
      <c r="F14">
        <v>123.75</v>
      </c>
      <c r="G14">
        <v>716.80000000000007</v>
      </c>
      <c r="H14">
        <v>148.01999999999998</v>
      </c>
      <c r="I14">
        <v>7812.0370370370365</v>
      </c>
      <c r="J14">
        <v>616</v>
      </c>
      <c r="K14">
        <v>228</v>
      </c>
      <c r="L14">
        <v>1584.3576342010497</v>
      </c>
      <c r="M14">
        <v>2340</v>
      </c>
      <c r="N14">
        <v>1044.6500000000001</v>
      </c>
      <c r="O14">
        <f t="shared" si="0"/>
        <v>16266.264671238087</v>
      </c>
      <c r="S14" s="1"/>
    </row>
    <row r="15" spans="1:19" x14ac:dyDescent="0.25">
      <c r="A15" t="s">
        <v>19</v>
      </c>
      <c r="B15" t="s">
        <v>33</v>
      </c>
      <c r="C15">
        <v>1813.7249999999999</v>
      </c>
      <c r="D15">
        <v>290.97250000000003</v>
      </c>
      <c r="E15">
        <v>2399.7600000000002</v>
      </c>
      <c r="F15">
        <v>744.75</v>
      </c>
      <c r="G15">
        <v>593.6</v>
      </c>
      <c r="H15">
        <v>369.12</v>
      </c>
      <c r="I15">
        <v>30285.185185185182</v>
      </c>
      <c r="J15">
        <v>1056</v>
      </c>
      <c r="K15">
        <v>52.6</v>
      </c>
      <c r="L15">
        <v>3148.044281860351</v>
      </c>
      <c r="M15">
        <v>997.19999999999993</v>
      </c>
      <c r="N15">
        <v>1369.3500000000001</v>
      </c>
      <c r="O15">
        <f t="shared" si="0"/>
        <v>43120.306967045522</v>
      </c>
    </row>
    <row r="16" spans="1:19" x14ac:dyDescent="0.25">
      <c r="A16" t="s">
        <v>17</v>
      </c>
      <c r="B16" t="s">
        <v>34</v>
      </c>
      <c r="C16">
        <v>20354.625</v>
      </c>
      <c r="D16">
        <v>810.81000000000006</v>
      </c>
      <c r="E16">
        <v>3782.46</v>
      </c>
      <c r="F16">
        <v>1176.75</v>
      </c>
      <c r="G16">
        <v>828.80000000000007</v>
      </c>
      <c r="H16">
        <v>725.52</v>
      </c>
      <c r="I16">
        <v>169758.33333333331</v>
      </c>
      <c r="J16">
        <v>1848</v>
      </c>
      <c r="K16">
        <v>385</v>
      </c>
      <c r="L16">
        <v>3250.5900326413516</v>
      </c>
      <c r="M16">
        <v>2030.3999999999999</v>
      </c>
      <c r="N16">
        <v>1793.16</v>
      </c>
      <c r="O16">
        <f t="shared" si="0"/>
        <v>206744.44836597465</v>
      </c>
    </row>
    <row r="17" spans="1:15" x14ac:dyDescent="0.25">
      <c r="A17" t="s">
        <v>28</v>
      </c>
      <c r="B17" t="s">
        <v>35</v>
      </c>
      <c r="C17">
        <v>3439.7999999999997</v>
      </c>
      <c r="D17">
        <v>847.43750000000011</v>
      </c>
      <c r="E17">
        <v>1361.25</v>
      </c>
      <c r="F17">
        <v>168.75</v>
      </c>
      <c r="G17">
        <v>907.2</v>
      </c>
      <c r="H17">
        <v>184.38</v>
      </c>
      <c r="I17">
        <v>16394.444444444442</v>
      </c>
      <c r="J17">
        <v>1056</v>
      </c>
      <c r="K17">
        <v>190</v>
      </c>
      <c r="L17">
        <v>3636.7539935302739</v>
      </c>
      <c r="M17">
        <v>3033.3599999999997</v>
      </c>
      <c r="N17">
        <v>1007.9300000000001</v>
      </c>
      <c r="O17">
        <f t="shared" si="0"/>
        <v>32227.305937974717</v>
      </c>
    </row>
    <row r="18" spans="1:15" x14ac:dyDescent="0.25">
      <c r="A18" t="s">
        <v>28</v>
      </c>
      <c r="B18" t="s">
        <v>36</v>
      </c>
      <c r="C18">
        <v>2149.875</v>
      </c>
      <c r="D18">
        <v>603.33000000000004</v>
      </c>
      <c r="E18">
        <v>140.25</v>
      </c>
      <c r="F18">
        <v>56.25</v>
      </c>
      <c r="G18">
        <v>526.40000000000009</v>
      </c>
      <c r="H18">
        <v>104.36999999999999</v>
      </c>
      <c r="I18">
        <v>6885.1851851851843</v>
      </c>
      <c r="J18">
        <v>528</v>
      </c>
      <c r="K18">
        <v>207</v>
      </c>
      <c r="L18">
        <v>1778.0725613403324</v>
      </c>
      <c r="M18">
        <v>345.59999999999997</v>
      </c>
      <c r="N18">
        <v>471.75000000000006</v>
      </c>
      <c r="O18">
        <f t="shared" si="0"/>
        <v>13796.082746525517</v>
      </c>
    </row>
    <row r="19" spans="1:15" x14ac:dyDescent="0.25">
      <c r="A19" t="s">
        <v>28</v>
      </c>
      <c r="B19" t="s">
        <v>37</v>
      </c>
      <c r="C19">
        <v>3206.25</v>
      </c>
      <c r="D19">
        <v>576.94000000000005</v>
      </c>
      <c r="E19">
        <v>511.5</v>
      </c>
      <c r="F19">
        <v>225</v>
      </c>
      <c r="G19">
        <v>268.8</v>
      </c>
      <c r="H19">
        <v>131.04</v>
      </c>
      <c r="I19">
        <v>18681.481481481482</v>
      </c>
      <c r="J19">
        <v>616</v>
      </c>
      <c r="K19">
        <v>169</v>
      </c>
      <c r="L19">
        <v>2952.5409332275394</v>
      </c>
      <c r="M19">
        <v>189.35999999999999</v>
      </c>
      <c r="N19">
        <v>198.9</v>
      </c>
      <c r="O19">
        <f t="shared" si="0"/>
        <v>27726.81241470902</v>
      </c>
    </row>
    <row r="20" spans="1:15" x14ac:dyDescent="0.25">
      <c r="A20" t="s">
        <v>17</v>
      </c>
      <c r="B20" t="s">
        <v>38</v>
      </c>
      <c r="C20">
        <v>243</v>
      </c>
      <c r="D20">
        <v>33602.887500000004</v>
      </c>
      <c r="E20">
        <v>1231.8900000000001</v>
      </c>
      <c r="F20">
        <v>346.5</v>
      </c>
      <c r="G20">
        <v>246.40000000000003</v>
      </c>
      <c r="H20">
        <v>167.04</v>
      </c>
      <c r="I20">
        <v>30285.185185185182</v>
      </c>
      <c r="J20">
        <v>264</v>
      </c>
      <c r="K20">
        <v>220</v>
      </c>
      <c r="L20">
        <v>2131.3544028198248</v>
      </c>
      <c r="M20">
        <v>847.8</v>
      </c>
      <c r="N20">
        <v>334.05</v>
      </c>
      <c r="O20">
        <f t="shared" si="0"/>
        <v>69920.107088005025</v>
      </c>
    </row>
    <row r="21" spans="1:15" x14ac:dyDescent="0.25">
      <c r="A21" t="s">
        <v>28</v>
      </c>
      <c r="B21" t="s">
        <v>39</v>
      </c>
      <c r="C21">
        <v>1632.1499999999999</v>
      </c>
      <c r="D21">
        <v>690.00750000000005</v>
      </c>
      <c r="E21">
        <v>1356.96</v>
      </c>
      <c r="F21">
        <v>373.5</v>
      </c>
      <c r="G21">
        <v>649.6</v>
      </c>
      <c r="H21">
        <v>286.17</v>
      </c>
      <c r="I21">
        <v>12867.592592592591</v>
      </c>
      <c r="J21">
        <v>1672</v>
      </c>
      <c r="K21">
        <v>10</v>
      </c>
      <c r="L21">
        <v>2237.8188403320314</v>
      </c>
      <c r="M21">
        <v>813.6</v>
      </c>
      <c r="N21">
        <v>342.55</v>
      </c>
      <c r="O21">
        <f t="shared" si="0"/>
        <v>22931.948932924621</v>
      </c>
    </row>
    <row r="22" spans="1:15" x14ac:dyDescent="0.25">
      <c r="A22" t="s">
        <v>28</v>
      </c>
      <c r="B22" t="s">
        <v>40</v>
      </c>
      <c r="C22">
        <v>3627.45</v>
      </c>
      <c r="D22">
        <v>780.09750000000008</v>
      </c>
      <c r="E22">
        <v>396</v>
      </c>
      <c r="F22">
        <v>114.75</v>
      </c>
      <c r="G22">
        <v>1332.8000000000002</v>
      </c>
      <c r="H22">
        <v>58.169999999999995</v>
      </c>
      <c r="I22">
        <v>10207.407407407407</v>
      </c>
      <c r="J22">
        <v>880</v>
      </c>
      <c r="K22">
        <v>286</v>
      </c>
      <c r="L22">
        <v>5304.8593212890628</v>
      </c>
      <c r="M22">
        <v>1013.76</v>
      </c>
      <c r="N22">
        <v>1136.45</v>
      </c>
      <c r="O22">
        <f t="shared" si="0"/>
        <v>25137.744228696469</v>
      </c>
    </row>
    <row r="23" spans="1:15" x14ac:dyDescent="0.25">
      <c r="A23" t="s">
        <v>21</v>
      </c>
      <c r="B23" t="s">
        <v>41</v>
      </c>
      <c r="C23">
        <v>986.17499999999995</v>
      </c>
      <c r="D23">
        <v>305.30500000000001</v>
      </c>
      <c r="E23">
        <v>346.5</v>
      </c>
      <c r="F23">
        <v>146.25</v>
      </c>
      <c r="G23">
        <v>268.8</v>
      </c>
      <c r="H23">
        <v>155.31</v>
      </c>
      <c r="I23">
        <v>9665.7407407407409</v>
      </c>
      <c r="J23">
        <v>704</v>
      </c>
      <c r="K23">
        <v>422</v>
      </c>
      <c r="L23">
        <v>666.2684060668945</v>
      </c>
      <c r="M23">
        <v>345.59999999999997</v>
      </c>
      <c r="N23">
        <v>281.35000000000002</v>
      </c>
      <c r="O23">
        <f t="shared" si="0"/>
        <v>14293.299146807636</v>
      </c>
    </row>
    <row r="24" spans="1:15" x14ac:dyDescent="0.25">
      <c r="A24" t="s">
        <v>15</v>
      </c>
      <c r="B24" t="s">
        <v>42</v>
      </c>
      <c r="C24">
        <v>13329.225</v>
      </c>
      <c r="D24">
        <v>2048.4100000000003</v>
      </c>
      <c r="E24">
        <v>1541.76</v>
      </c>
      <c r="F24">
        <v>375.75</v>
      </c>
      <c r="G24">
        <v>1276.8000000000002</v>
      </c>
      <c r="H24">
        <v>201.45</v>
      </c>
      <c r="I24">
        <v>24964.814814814814</v>
      </c>
      <c r="J24">
        <v>352</v>
      </c>
      <c r="K24">
        <v>163</v>
      </c>
      <c r="L24">
        <v>5232.8259850096401</v>
      </c>
      <c r="M24">
        <v>1161.72</v>
      </c>
      <c r="N24">
        <v>1257.3200000000002</v>
      </c>
      <c r="O24">
        <f t="shared" si="0"/>
        <v>51905.075799824459</v>
      </c>
    </row>
    <row r="25" spans="1:15" x14ac:dyDescent="0.25">
      <c r="A25" t="s">
        <v>19</v>
      </c>
      <c r="B25" t="s">
        <v>43</v>
      </c>
      <c r="C25">
        <v>4776.9749999999995</v>
      </c>
      <c r="D25">
        <v>8.6450000000000014</v>
      </c>
      <c r="E25">
        <v>10089.75</v>
      </c>
      <c r="F25">
        <v>135</v>
      </c>
      <c r="G25">
        <v>240.8</v>
      </c>
      <c r="H25">
        <v>75.3</v>
      </c>
      <c r="I25">
        <v>5681.4814814814808</v>
      </c>
      <c r="J25">
        <v>176</v>
      </c>
      <c r="K25">
        <v>52.6</v>
      </c>
      <c r="L25">
        <v>594.77040649414073</v>
      </c>
      <c r="M25">
        <v>345.59999999999997</v>
      </c>
      <c r="N25">
        <v>471.75000000000006</v>
      </c>
      <c r="O25">
        <f t="shared" si="0"/>
        <v>22648.671887975615</v>
      </c>
    </row>
    <row r="26" spans="1:15" x14ac:dyDescent="0.25">
      <c r="A26" t="s">
        <v>15</v>
      </c>
      <c r="B26" t="s">
        <v>44</v>
      </c>
      <c r="C26">
        <v>1244.0249999999999</v>
      </c>
      <c r="D26">
        <v>327.60000000000002</v>
      </c>
      <c r="E26">
        <v>317.46000000000004</v>
      </c>
      <c r="F26">
        <v>135</v>
      </c>
      <c r="G26">
        <v>582.40000000000009</v>
      </c>
      <c r="H26">
        <v>70.319999999999993</v>
      </c>
      <c r="I26">
        <v>5043.5185185185182</v>
      </c>
      <c r="J26">
        <v>616</v>
      </c>
      <c r="K26">
        <v>465</v>
      </c>
      <c r="L26">
        <v>923.51001068115215</v>
      </c>
      <c r="M26">
        <v>782.49600000000009</v>
      </c>
      <c r="N26">
        <v>173.57000000000002</v>
      </c>
      <c r="O26">
        <f t="shared" si="0"/>
        <v>10680.899529199669</v>
      </c>
    </row>
    <row r="27" spans="1:15" x14ac:dyDescent="0.25">
      <c r="A27" t="s">
        <v>17</v>
      </c>
      <c r="B27" t="s">
        <v>45</v>
      </c>
      <c r="C27">
        <v>430.65</v>
      </c>
      <c r="D27">
        <v>568.29500000000007</v>
      </c>
      <c r="E27">
        <v>490.71000000000004</v>
      </c>
      <c r="F27">
        <v>121.5</v>
      </c>
      <c r="G27">
        <v>280</v>
      </c>
      <c r="H27">
        <v>191.85</v>
      </c>
      <c r="I27">
        <v>19030.555555555555</v>
      </c>
      <c r="J27">
        <v>498.66666666666669</v>
      </c>
      <c r="K27">
        <v>60</v>
      </c>
      <c r="L27">
        <v>690.41000871569531</v>
      </c>
      <c r="M27">
        <v>933.83999999999992</v>
      </c>
      <c r="N27">
        <v>140.25</v>
      </c>
      <c r="O27">
        <f t="shared" si="0"/>
        <v>23436.727230937919</v>
      </c>
    </row>
    <row r="28" spans="1:15" x14ac:dyDescent="0.25">
      <c r="A28" t="s">
        <v>21</v>
      </c>
      <c r="B28" t="s">
        <v>46</v>
      </c>
      <c r="C28">
        <v>2427.9749999999999</v>
      </c>
      <c r="D28">
        <v>107.83500000000001</v>
      </c>
      <c r="E28">
        <v>783.75</v>
      </c>
      <c r="F28">
        <v>333</v>
      </c>
      <c r="G28">
        <v>324.8</v>
      </c>
      <c r="H28">
        <v>135.75</v>
      </c>
      <c r="I28">
        <v>6680.5555555555547</v>
      </c>
      <c r="J28">
        <v>616</v>
      </c>
      <c r="K28">
        <v>321</v>
      </c>
      <c r="L28">
        <v>859.98640350341805</v>
      </c>
      <c r="M28">
        <v>2156.4</v>
      </c>
      <c r="N28">
        <v>670.31000000000006</v>
      </c>
      <c r="O28">
        <f t="shared" si="0"/>
        <v>15417.361959058973</v>
      </c>
    </row>
    <row r="29" spans="1:15" x14ac:dyDescent="0.25">
      <c r="A29" t="s">
        <v>21</v>
      </c>
      <c r="B29" t="s">
        <v>47</v>
      </c>
      <c r="C29">
        <v>5112.45</v>
      </c>
      <c r="D29">
        <v>265.49250000000001</v>
      </c>
      <c r="E29">
        <v>1064.25</v>
      </c>
      <c r="F29">
        <v>909</v>
      </c>
      <c r="G29">
        <v>336.00000000000006</v>
      </c>
      <c r="H29">
        <v>640.98</v>
      </c>
      <c r="I29">
        <v>60112.962962962956</v>
      </c>
      <c r="J29">
        <v>616</v>
      </c>
      <c r="K29">
        <v>111</v>
      </c>
      <c r="L29">
        <v>1980.0564099121095</v>
      </c>
      <c r="M29">
        <v>1445.76</v>
      </c>
      <c r="N29">
        <v>961.35</v>
      </c>
      <c r="O29">
        <f t="shared" si="0"/>
        <v>73555.301872875076</v>
      </c>
    </row>
    <row r="30" spans="1:15" x14ac:dyDescent="0.25">
      <c r="A30" t="s">
        <v>15</v>
      </c>
      <c r="B30" t="s">
        <v>48</v>
      </c>
      <c r="C30">
        <v>452.92500000000001</v>
      </c>
      <c r="D30">
        <v>34.352500000000006</v>
      </c>
      <c r="E30">
        <v>602.25</v>
      </c>
      <c r="F30">
        <v>157.5</v>
      </c>
      <c r="G30">
        <v>100.80000000000001</v>
      </c>
      <c r="H30">
        <v>63.12</v>
      </c>
      <c r="I30">
        <v>4068.5185185185182</v>
      </c>
      <c r="J30">
        <v>322.66666666666669</v>
      </c>
      <c r="K30">
        <v>184</v>
      </c>
      <c r="L30">
        <v>271.32279846191409</v>
      </c>
      <c r="M30">
        <v>188.64</v>
      </c>
      <c r="N30">
        <v>250.75000000000003</v>
      </c>
      <c r="O30">
        <f t="shared" si="0"/>
        <v>6696.8454836471001</v>
      </c>
    </row>
    <row r="31" spans="1:15" x14ac:dyDescent="0.25">
      <c r="A31" t="s">
        <v>19</v>
      </c>
      <c r="B31" t="s">
        <v>49</v>
      </c>
      <c r="C31">
        <v>17241.727500915527</v>
      </c>
      <c r="D31">
        <v>39.812500000000007</v>
      </c>
      <c r="E31">
        <v>8624.2200000000012</v>
      </c>
      <c r="F31">
        <v>1156.5</v>
      </c>
      <c r="G31">
        <v>834.40000000000009</v>
      </c>
      <c r="H31">
        <v>1245.18</v>
      </c>
      <c r="I31">
        <v>92432.407407407401</v>
      </c>
      <c r="J31">
        <v>381.33333333333331</v>
      </c>
      <c r="K31">
        <v>2</v>
      </c>
      <c r="L31">
        <v>9596.4204676755326</v>
      </c>
      <c r="M31">
        <v>883.43999999999994</v>
      </c>
      <c r="N31">
        <v>2092.5300000000002</v>
      </c>
      <c r="O31">
        <f t="shared" si="0"/>
        <v>134529.97120933179</v>
      </c>
    </row>
    <row r="32" spans="1:15" x14ac:dyDescent="0.25">
      <c r="A32" t="s">
        <v>19</v>
      </c>
      <c r="B32" t="s">
        <v>50</v>
      </c>
      <c r="C32">
        <v>627.07499999999993</v>
      </c>
      <c r="D32">
        <v>40</v>
      </c>
      <c r="E32">
        <v>5844.3</v>
      </c>
      <c r="F32">
        <v>90</v>
      </c>
      <c r="G32">
        <v>67.2</v>
      </c>
      <c r="H32">
        <v>94.74</v>
      </c>
      <c r="I32">
        <v>3996.2962962962961</v>
      </c>
      <c r="J32">
        <v>176</v>
      </c>
      <c r="K32">
        <v>52.6</v>
      </c>
      <c r="L32">
        <v>668.82559660136724</v>
      </c>
      <c r="M32">
        <v>388.8</v>
      </c>
      <c r="N32">
        <v>225.25000000000003</v>
      </c>
      <c r="O32">
        <f t="shared" si="0"/>
        <v>12271.086892897663</v>
      </c>
    </row>
    <row r="33" spans="1:15" x14ac:dyDescent="0.25">
      <c r="A33" t="s">
        <v>17</v>
      </c>
      <c r="B33" t="s">
        <v>51</v>
      </c>
      <c r="C33">
        <v>5938.65</v>
      </c>
      <c r="D33">
        <v>732.77750000000003</v>
      </c>
      <c r="E33">
        <v>951.06000000000006</v>
      </c>
      <c r="F33">
        <v>416.25</v>
      </c>
      <c r="G33">
        <v>537.6</v>
      </c>
      <c r="H33">
        <v>238.47</v>
      </c>
      <c r="I33">
        <v>51350</v>
      </c>
      <c r="J33">
        <v>1056</v>
      </c>
      <c r="K33">
        <v>73</v>
      </c>
      <c r="L33">
        <v>1579.1272104248048</v>
      </c>
      <c r="M33">
        <v>889.19999999999993</v>
      </c>
      <c r="N33">
        <v>340.85</v>
      </c>
      <c r="O33">
        <f t="shared" si="0"/>
        <v>64102.984710424797</v>
      </c>
    </row>
    <row r="34" spans="1:15" x14ac:dyDescent="0.25">
      <c r="A34" t="s">
        <v>21</v>
      </c>
      <c r="B34" t="s">
        <v>52</v>
      </c>
      <c r="C34">
        <v>2318.625</v>
      </c>
      <c r="D34">
        <v>831.96750000000009</v>
      </c>
      <c r="E34">
        <v>2231.13</v>
      </c>
      <c r="F34">
        <v>600.75</v>
      </c>
      <c r="G34">
        <v>817.6</v>
      </c>
      <c r="H34">
        <v>567.99</v>
      </c>
      <c r="I34">
        <v>41335.185185185182</v>
      </c>
      <c r="J34">
        <v>792</v>
      </c>
      <c r="K34">
        <v>522</v>
      </c>
      <c r="L34">
        <v>2889.555826737977</v>
      </c>
      <c r="M34">
        <v>601.19999999999993</v>
      </c>
      <c r="N34">
        <v>712.47</v>
      </c>
      <c r="O34">
        <f t="shared" ref="O34:O63" si="1">SUM(C34:N34)</f>
        <v>54220.473511923155</v>
      </c>
    </row>
    <row r="35" spans="1:15" x14ac:dyDescent="0.25">
      <c r="A35" t="s">
        <v>21</v>
      </c>
      <c r="B35" t="s">
        <v>53</v>
      </c>
      <c r="C35">
        <v>4080.375</v>
      </c>
      <c r="D35">
        <v>140.36750000000001</v>
      </c>
      <c r="E35">
        <v>6456.9450000000006</v>
      </c>
      <c r="F35">
        <v>1516.5</v>
      </c>
      <c r="G35">
        <v>492.80000000000007</v>
      </c>
      <c r="H35">
        <v>682.5</v>
      </c>
      <c r="I35">
        <v>52409.259259259255</v>
      </c>
      <c r="J35">
        <v>1232</v>
      </c>
      <c r="K35">
        <v>210</v>
      </c>
      <c r="L35">
        <v>2700.3228092283907</v>
      </c>
      <c r="M35">
        <v>1495.08</v>
      </c>
      <c r="N35">
        <v>1755.5900000000001</v>
      </c>
      <c r="O35">
        <f t="shared" si="1"/>
        <v>73171.739568487654</v>
      </c>
    </row>
    <row r="36" spans="1:15" x14ac:dyDescent="0.25">
      <c r="A36" t="s">
        <v>21</v>
      </c>
      <c r="B36" t="s">
        <v>54</v>
      </c>
      <c r="C36">
        <v>1921.05</v>
      </c>
      <c r="D36">
        <v>185.64000000000001</v>
      </c>
      <c r="E36">
        <v>1254</v>
      </c>
      <c r="F36">
        <v>312.75</v>
      </c>
      <c r="G36">
        <v>347.20000000000005</v>
      </c>
      <c r="H36">
        <v>286.46999999999997</v>
      </c>
      <c r="I36">
        <v>10881.48148148148</v>
      </c>
      <c r="J36">
        <v>528</v>
      </c>
      <c r="K36">
        <v>105</v>
      </c>
      <c r="L36">
        <v>889.49282409667978</v>
      </c>
      <c r="M36">
        <v>1130.3999999999999</v>
      </c>
      <c r="N36">
        <v>445.57000000000005</v>
      </c>
      <c r="O36">
        <f t="shared" si="1"/>
        <v>18287.05430557816</v>
      </c>
    </row>
    <row r="37" spans="1:15" x14ac:dyDescent="0.25">
      <c r="A37" t="s">
        <v>19</v>
      </c>
      <c r="B37" t="s">
        <v>55</v>
      </c>
      <c r="C37">
        <v>1927.125</v>
      </c>
      <c r="D37">
        <v>303.25750000000005</v>
      </c>
      <c r="E37">
        <v>1086.69</v>
      </c>
      <c r="F37">
        <v>267.75</v>
      </c>
      <c r="G37">
        <v>660.80000000000007</v>
      </c>
      <c r="H37">
        <v>456.33</v>
      </c>
      <c r="I37">
        <v>13192.592592592591</v>
      </c>
      <c r="J37">
        <v>1232</v>
      </c>
      <c r="K37">
        <v>10</v>
      </c>
      <c r="L37">
        <v>851.51921852111809</v>
      </c>
      <c r="M37">
        <v>2815.2</v>
      </c>
      <c r="N37">
        <v>1501.95</v>
      </c>
      <c r="O37">
        <f t="shared" si="1"/>
        <v>24305.214311113712</v>
      </c>
    </row>
    <row r="38" spans="1:15" x14ac:dyDescent="0.25">
      <c r="A38" t="s">
        <v>17</v>
      </c>
      <c r="B38" t="s">
        <v>56</v>
      </c>
      <c r="C38">
        <v>1325.0249999999999</v>
      </c>
      <c r="D38">
        <v>399.26250000000005</v>
      </c>
      <c r="E38">
        <v>379.5</v>
      </c>
      <c r="F38">
        <v>155.25</v>
      </c>
      <c r="G38">
        <v>201.60000000000002</v>
      </c>
      <c r="H38">
        <v>131.66999999999999</v>
      </c>
      <c r="I38">
        <v>7968.5185185185182</v>
      </c>
      <c r="J38">
        <v>88</v>
      </c>
      <c r="K38">
        <v>126</v>
      </c>
      <c r="L38">
        <v>555.79720420837407</v>
      </c>
      <c r="M38">
        <v>133.19999999999999</v>
      </c>
      <c r="N38">
        <v>153</v>
      </c>
      <c r="O38">
        <f t="shared" si="1"/>
        <v>11616.823222726893</v>
      </c>
    </row>
    <row r="39" spans="1:15" x14ac:dyDescent="0.25">
      <c r="A39" t="s">
        <v>21</v>
      </c>
      <c r="B39" t="s">
        <v>57</v>
      </c>
      <c r="C39">
        <v>6315.3</v>
      </c>
      <c r="D39">
        <v>1162.0700000000002</v>
      </c>
      <c r="E39">
        <v>1121.67</v>
      </c>
      <c r="F39">
        <v>218.25</v>
      </c>
      <c r="G39">
        <v>627.20000000000005</v>
      </c>
      <c r="H39">
        <v>209.64</v>
      </c>
      <c r="I39">
        <v>29851.85185185185</v>
      </c>
      <c r="J39">
        <v>352</v>
      </c>
      <c r="K39">
        <v>375</v>
      </c>
      <c r="L39">
        <v>3225.7232451171876</v>
      </c>
      <c r="M39">
        <v>769.68</v>
      </c>
      <c r="N39">
        <v>273.70000000000005</v>
      </c>
      <c r="O39">
        <f t="shared" si="1"/>
        <v>44502.085096969036</v>
      </c>
    </row>
    <row r="40" spans="1:15" x14ac:dyDescent="0.25">
      <c r="A40" t="s">
        <v>21</v>
      </c>
      <c r="B40" t="s">
        <v>58</v>
      </c>
      <c r="C40">
        <v>1278.45</v>
      </c>
      <c r="D40">
        <v>563.745</v>
      </c>
      <c r="E40">
        <v>1191.6300000000001</v>
      </c>
      <c r="F40">
        <v>315</v>
      </c>
      <c r="G40">
        <v>448.00000000000006</v>
      </c>
      <c r="H40">
        <v>115.17</v>
      </c>
      <c r="I40">
        <v>22172.222222222219</v>
      </c>
      <c r="J40">
        <v>440</v>
      </c>
      <c r="K40">
        <v>330</v>
      </c>
      <c r="L40">
        <v>1241.4200654296876</v>
      </c>
      <c r="M40">
        <v>858.95999999999992</v>
      </c>
      <c r="N40">
        <v>499.8</v>
      </c>
      <c r="O40">
        <f t="shared" si="1"/>
        <v>29454.397287651904</v>
      </c>
    </row>
    <row r="41" spans="1:15" x14ac:dyDescent="0.25">
      <c r="A41" t="s">
        <v>19</v>
      </c>
      <c r="B41" t="s">
        <v>59</v>
      </c>
      <c r="C41">
        <v>646.65</v>
      </c>
      <c r="D41">
        <v>54.372500000000002</v>
      </c>
      <c r="E41">
        <v>371.25</v>
      </c>
      <c r="F41">
        <v>112.5</v>
      </c>
      <c r="G41">
        <v>257.60000000000002</v>
      </c>
      <c r="H41">
        <v>150.51</v>
      </c>
      <c r="I41">
        <v>3839.8148148148148</v>
      </c>
      <c r="J41">
        <v>352</v>
      </c>
      <c r="K41">
        <v>52.6</v>
      </c>
      <c r="L41">
        <v>1350.8320384521485</v>
      </c>
      <c r="M41">
        <v>1634.3999999999999</v>
      </c>
      <c r="N41">
        <v>150.45000000000002</v>
      </c>
      <c r="O41">
        <f t="shared" si="1"/>
        <v>8972.9793532669646</v>
      </c>
    </row>
    <row r="42" spans="1:15" x14ac:dyDescent="0.25">
      <c r="A42" t="s">
        <v>19</v>
      </c>
      <c r="B42" t="s">
        <v>60</v>
      </c>
      <c r="C42">
        <v>4653.45</v>
      </c>
      <c r="D42">
        <v>40</v>
      </c>
      <c r="E42">
        <v>8798.130000000001</v>
      </c>
      <c r="F42">
        <v>243</v>
      </c>
      <c r="G42">
        <v>274.40000000000003</v>
      </c>
      <c r="H42">
        <v>145.79999999999998</v>
      </c>
      <c r="I42">
        <v>12362.037037037036</v>
      </c>
      <c r="J42">
        <v>880</v>
      </c>
      <c r="K42">
        <v>52.6</v>
      </c>
      <c r="L42">
        <v>787.6344201660163</v>
      </c>
      <c r="M42">
        <v>608.4</v>
      </c>
      <c r="N42">
        <v>837.25000000000011</v>
      </c>
      <c r="O42">
        <f t="shared" si="1"/>
        <v>29682.701457203053</v>
      </c>
    </row>
    <row r="43" spans="1:15" x14ac:dyDescent="0.25">
      <c r="A43" t="s">
        <v>15</v>
      </c>
      <c r="B43" t="s">
        <v>61</v>
      </c>
      <c r="C43">
        <v>1308.1499999999999</v>
      </c>
      <c r="D43">
        <v>220.90250000000003</v>
      </c>
      <c r="E43">
        <v>1793.7975000000001</v>
      </c>
      <c r="F43">
        <v>339.75</v>
      </c>
      <c r="G43">
        <v>380.8</v>
      </c>
      <c r="H43">
        <v>150.23999999999998</v>
      </c>
      <c r="I43">
        <v>22124.074074074073</v>
      </c>
      <c r="J43">
        <v>264</v>
      </c>
      <c r="K43">
        <v>90</v>
      </c>
      <c r="L43">
        <v>2607.722614312619</v>
      </c>
      <c r="M43">
        <v>1228.32</v>
      </c>
      <c r="N43">
        <v>470.05</v>
      </c>
      <c r="O43">
        <f t="shared" si="1"/>
        <v>30977.806688386689</v>
      </c>
    </row>
    <row r="44" spans="1:15" x14ac:dyDescent="0.25">
      <c r="A44" t="s">
        <v>19</v>
      </c>
      <c r="B44" t="s">
        <v>62</v>
      </c>
      <c r="C44">
        <v>2102.625</v>
      </c>
      <c r="D44">
        <v>40</v>
      </c>
      <c r="E44">
        <v>1386</v>
      </c>
      <c r="F44">
        <v>60.75</v>
      </c>
      <c r="G44">
        <v>67.2</v>
      </c>
      <c r="H44">
        <v>46.14</v>
      </c>
      <c r="I44">
        <v>2997.2222222222222</v>
      </c>
      <c r="J44">
        <v>352</v>
      </c>
      <c r="K44">
        <v>52.6</v>
      </c>
      <c r="L44">
        <v>1903.6135494995115</v>
      </c>
      <c r="M44">
        <v>247.53600219726573</v>
      </c>
      <c r="N44">
        <v>178.94200103759775</v>
      </c>
      <c r="O44">
        <f t="shared" si="1"/>
        <v>9434.6287749565981</v>
      </c>
    </row>
    <row r="45" spans="1:15" x14ac:dyDescent="0.25">
      <c r="A45" t="s">
        <v>19</v>
      </c>
      <c r="B45" t="s">
        <v>63</v>
      </c>
      <c r="C45">
        <v>3620.0250000000001</v>
      </c>
      <c r="D45">
        <v>34.125</v>
      </c>
      <c r="E45">
        <v>1714.02</v>
      </c>
      <c r="F45">
        <v>382.5</v>
      </c>
      <c r="G45">
        <v>369.6</v>
      </c>
      <c r="H45">
        <v>219.42</v>
      </c>
      <c r="I45">
        <v>65565.74074074073</v>
      </c>
      <c r="J45">
        <v>176</v>
      </c>
      <c r="K45">
        <v>52.6</v>
      </c>
      <c r="L45">
        <v>2279.0431948089604</v>
      </c>
      <c r="M45">
        <v>1944.72</v>
      </c>
      <c r="N45">
        <v>493.85</v>
      </c>
      <c r="O45">
        <f t="shared" si="1"/>
        <v>76851.643935549699</v>
      </c>
    </row>
    <row r="46" spans="1:15" x14ac:dyDescent="0.25">
      <c r="A46" t="s">
        <v>15</v>
      </c>
      <c r="B46" t="s">
        <v>64</v>
      </c>
      <c r="C46">
        <v>5707.125</v>
      </c>
      <c r="D46">
        <v>737.55500000000006</v>
      </c>
      <c r="E46">
        <v>371.25</v>
      </c>
      <c r="F46">
        <v>67.5</v>
      </c>
      <c r="G46">
        <v>1646.4</v>
      </c>
      <c r="H46">
        <v>259.5</v>
      </c>
      <c r="I46">
        <v>21702.777777777777</v>
      </c>
      <c r="J46">
        <v>704</v>
      </c>
      <c r="K46">
        <v>531</v>
      </c>
      <c r="L46">
        <v>2981.6189725341796</v>
      </c>
      <c r="M46">
        <v>770.4</v>
      </c>
      <c r="N46">
        <v>472.6</v>
      </c>
      <c r="O46">
        <f t="shared" si="1"/>
        <v>35951.726750311958</v>
      </c>
    </row>
    <row r="47" spans="1:15" x14ac:dyDescent="0.25">
      <c r="A47" t="s">
        <v>15</v>
      </c>
      <c r="B47" t="s">
        <v>65</v>
      </c>
      <c r="C47">
        <v>3154.95</v>
      </c>
      <c r="D47">
        <v>783.28250000000003</v>
      </c>
      <c r="E47">
        <v>1949.97</v>
      </c>
      <c r="F47">
        <v>398.25</v>
      </c>
      <c r="G47">
        <v>582.40000000000009</v>
      </c>
      <c r="H47">
        <v>358.62</v>
      </c>
      <c r="I47">
        <v>36339.81481481481</v>
      </c>
      <c r="J47">
        <v>176</v>
      </c>
      <c r="K47">
        <v>165</v>
      </c>
      <c r="L47">
        <v>2672.5720423828129</v>
      </c>
      <c r="M47">
        <v>851.4</v>
      </c>
      <c r="N47">
        <v>582.25</v>
      </c>
      <c r="O47">
        <f t="shared" si="1"/>
        <v>48014.509357197625</v>
      </c>
    </row>
    <row r="48" spans="1:15" x14ac:dyDescent="0.25">
      <c r="A48" t="s">
        <v>15</v>
      </c>
      <c r="B48" t="s">
        <v>66</v>
      </c>
      <c r="C48">
        <v>290.25</v>
      </c>
      <c r="D48">
        <v>69.160000000000011</v>
      </c>
      <c r="E48">
        <v>858</v>
      </c>
      <c r="F48">
        <v>123.75</v>
      </c>
      <c r="G48">
        <v>179.20000000000002</v>
      </c>
      <c r="H48">
        <v>130.94999999999999</v>
      </c>
      <c r="I48">
        <v>10977.777777777777</v>
      </c>
      <c r="J48">
        <v>1232</v>
      </c>
      <c r="K48">
        <v>24</v>
      </c>
      <c r="L48">
        <v>464.55360504150394</v>
      </c>
      <c r="M48">
        <v>370.8</v>
      </c>
      <c r="N48">
        <v>504.90000000000003</v>
      </c>
      <c r="O48">
        <f t="shared" si="1"/>
        <v>15225.341382819281</v>
      </c>
    </row>
    <row r="49" spans="1:15" x14ac:dyDescent="0.25">
      <c r="A49" t="s">
        <v>21</v>
      </c>
      <c r="B49" t="s">
        <v>67</v>
      </c>
      <c r="C49">
        <v>162</v>
      </c>
      <c r="D49">
        <v>296.88750000000005</v>
      </c>
      <c r="E49">
        <v>305.25</v>
      </c>
      <c r="F49">
        <v>51.75</v>
      </c>
      <c r="G49">
        <v>168.00000000000003</v>
      </c>
      <c r="H49">
        <v>40.98</v>
      </c>
      <c r="I49">
        <v>7775.9259259259252</v>
      </c>
      <c r="J49">
        <v>176</v>
      </c>
      <c r="K49">
        <v>140</v>
      </c>
      <c r="L49">
        <v>467.35640991210931</v>
      </c>
      <c r="M49">
        <v>248.39999999999998</v>
      </c>
      <c r="N49">
        <v>117.30000000000001</v>
      </c>
      <c r="O49">
        <f t="shared" si="1"/>
        <v>9949.849835838033</v>
      </c>
    </row>
    <row r="50" spans="1:15" x14ac:dyDescent="0.25">
      <c r="A50" t="s">
        <v>21</v>
      </c>
      <c r="B50" t="s">
        <v>68</v>
      </c>
      <c r="C50">
        <v>1485</v>
      </c>
      <c r="D50">
        <v>429.52000000000004</v>
      </c>
      <c r="E50">
        <v>119.46000000000001</v>
      </c>
      <c r="F50">
        <v>58.5</v>
      </c>
      <c r="G50">
        <v>268.8</v>
      </c>
      <c r="H50">
        <v>29.07</v>
      </c>
      <c r="I50">
        <v>12000.925925925925</v>
      </c>
      <c r="J50">
        <v>146.66666666666666</v>
      </c>
      <c r="K50">
        <v>96</v>
      </c>
      <c r="L50">
        <v>736.22080230712902</v>
      </c>
      <c r="M50">
        <v>446.4</v>
      </c>
      <c r="N50">
        <v>178.5</v>
      </c>
      <c r="O50">
        <f t="shared" si="1"/>
        <v>15995.06339489972</v>
      </c>
    </row>
    <row r="51" spans="1:15" x14ac:dyDescent="0.25">
      <c r="A51" t="s">
        <v>15</v>
      </c>
      <c r="B51" t="s">
        <v>69</v>
      </c>
      <c r="C51">
        <v>2263.2750000000001</v>
      </c>
      <c r="D51">
        <v>599.91750000000002</v>
      </c>
      <c r="E51">
        <v>391.38</v>
      </c>
      <c r="F51">
        <v>114.75</v>
      </c>
      <c r="G51">
        <v>302.40000000000003</v>
      </c>
      <c r="H51">
        <v>72.72</v>
      </c>
      <c r="I51">
        <v>20222.222222222223</v>
      </c>
      <c r="J51">
        <v>352</v>
      </c>
      <c r="K51">
        <v>21</v>
      </c>
      <c r="L51">
        <v>1278.1874124755864</v>
      </c>
      <c r="M51">
        <v>284.39999999999998</v>
      </c>
      <c r="N51">
        <v>110.50000000000001</v>
      </c>
      <c r="O51">
        <f t="shared" si="1"/>
        <v>26012.75213469781</v>
      </c>
    </row>
    <row r="52" spans="1:15" x14ac:dyDescent="0.25">
      <c r="A52" t="s">
        <v>21</v>
      </c>
      <c r="B52" t="s">
        <v>70</v>
      </c>
      <c r="C52">
        <v>544.04999999999995</v>
      </c>
      <c r="D52">
        <v>729.59250000000009</v>
      </c>
      <c r="E52">
        <v>317.13</v>
      </c>
      <c r="F52">
        <v>117</v>
      </c>
      <c r="G52">
        <v>425.6</v>
      </c>
      <c r="H52">
        <v>169.79999999999998</v>
      </c>
      <c r="I52">
        <v>11820.37037037037</v>
      </c>
      <c r="J52">
        <v>176</v>
      </c>
      <c r="K52">
        <v>141</v>
      </c>
      <c r="L52">
        <v>1337.0252160644532</v>
      </c>
      <c r="M52">
        <v>676.8</v>
      </c>
      <c r="N52">
        <v>101.15</v>
      </c>
      <c r="O52">
        <f t="shared" si="1"/>
        <v>16555.518086434826</v>
      </c>
    </row>
    <row r="53" spans="1:15" x14ac:dyDescent="0.25">
      <c r="A53" t="s">
        <v>19</v>
      </c>
      <c r="B53" t="s">
        <v>71</v>
      </c>
      <c r="C53">
        <v>34497.224999999999</v>
      </c>
      <c r="D53">
        <v>656.11</v>
      </c>
      <c r="E53">
        <v>13332.66</v>
      </c>
      <c r="F53">
        <v>2929.5</v>
      </c>
      <c r="G53">
        <v>2290.4</v>
      </c>
      <c r="H53">
        <v>1401.57</v>
      </c>
      <c r="I53">
        <v>152569.44444444444</v>
      </c>
      <c r="J53">
        <v>792</v>
      </c>
      <c r="K53">
        <v>5</v>
      </c>
      <c r="L53">
        <v>19070.413806263736</v>
      </c>
      <c r="M53">
        <v>5230.08</v>
      </c>
      <c r="N53">
        <v>1339.6000000000001</v>
      </c>
      <c r="O53">
        <f t="shared" si="1"/>
        <v>234114.00325070816</v>
      </c>
    </row>
    <row r="54" spans="1:15" x14ac:dyDescent="0.25">
      <c r="A54" t="s">
        <v>19</v>
      </c>
      <c r="B54" t="s">
        <v>72</v>
      </c>
      <c r="C54">
        <v>3187.35</v>
      </c>
      <c r="D54">
        <v>1545.8625000000002</v>
      </c>
      <c r="E54">
        <v>2730.75</v>
      </c>
      <c r="F54">
        <v>366.75</v>
      </c>
      <c r="G54">
        <v>1702.4</v>
      </c>
      <c r="H54">
        <v>1948.02</v>
      </c>
      <c r="I54">
        <v>40649.074074074073</v>
      </c>
      <c r="J54">
        <v>2376</v>
      </c>
      <c r="K54">
        <v>30</v>
      </c>
      <c r="L54">
        <v>5990.0096177611058</v>
      </c>
      <c r="M54">
        <v>2311.1999999999998</v>
      </c>
      <c r="N54">
        <v>940.1</v>
      </c>
      <c r="O54">
        <f t="shared" si="1"/>
        <v>63777.516191835173</v>
      </c>
    </row>
    <row r="55" spans="1:15" x14ac:dyDescent="0.25">
      <c r="A55" t="s">
        <v>21</v>
      </c>
      <c r="B55" t="s">
        <v>73</v>
      </c>
      <c r="C55">
        <v>283.5</v>
      </c>
      <c r="D55">
        <v>152.42500000000001</v>
      </c>
      <c r="E55">
        <v>49.5</v>
      </c>
      <c r="F55">
        <v>76.5</v>
      </c>
      <c r="G55">
        <v>358.40000000000003</v>
      </c>
      <c r="H55">
        <v>126.24</v>
      </c>
      <c r="I55">
        <v>6897.2222222222217</v>
      </c>
      <c r="J55">
        <v>363</v>
      </c>
      <c r="K55">
        <v>164</v>
      </c>
      <c r="L55">
        <v>655.93360717773442</v>
      </c>
      <c r="M55">
        <v>155.51999999999998</v>
      </c>
      <c r="N55">
        <v>14.450000000000001</v>
      </c>
      <c r="O55">
        <f t="shared" si="1"/>
        <v>9296.6908293999568</v>
      </c>
    </row>
    <row r="56" spans="1:15" x14ac:dyDescent="0.25">
      <c r="A56" t="s">
        <v>21</v>
      </c>
      <c r="B56" t="s">
        <v>74</v>
      </c>
      <c r="C56">
        <v>1985.85</v>
      </c>
      <c r="D56">
        <v>240.46750000000003</v>
      </c>
      <c r="E56">
        <v>635.25</v>
      </c>
      <c r="F56">
        <v>288</v>
      </c>
      <c r="G56">
        <v>291.20000000000005</v>
      </c>
      <c r="H56">
        <v>126.24</v>
      </c>
      <c r="I56">
        <v>21967.592592592591</v>
      </c>
      <c r="J56">
        <v>88</v>
      </c>
      <c r="K56">
        <v>105</v>
      </c>
      <c r="L56">
        <v>1014.8572126731873</v>
      </c>
      <c r="M56">
        <v>1112.3999999999999</v>
      </c>
      <c r="N56">
        <v>293.25</v>
      </c>
      <c r="O56">
        <f t="shared" si="1"/>
        <v>28148.107305265781</v>
      </c>
    </row>
    <row r="57" spans="1:15" x14ac:dyDescent="0.25">
      <c r="A57" t="s">
        <v>19</v>
      </c>
      <c r="B57" t="s">
        <v>75</v>
      </c>
      <c r="C57">
        <v>2770.2</v>
      </c>
      <c r="D57">
        <v>819.22750000000008</v>
      </c>
      <c r="E57">
        <v>825</v>
      </c>
      <c r="F57">
        <v>144</v>
      </c>
      <c r="G57">
        <v>728.00000000000011</v>
      </c>
      <c r="H57">
        <v>298.26</v>
      </c>
      <c r="I57">
        <v>15443.518518518518</v>
      </c>
      <c r="J57">
        <v>2640</v>
      </c>
      <c r="K57">
        <v>10</v>
      </c>
      <c r="L57">
        <v>2962.2611789599614</v>
      </c>
      <c r="M57">
        <v>2170.7999999999997</v>
      </c>
      <c r="N57">
        <v>1459.45</v>
      </c>
      <c r="O57">
        <f t="shared" si="1"/>
        <v>30270.71719747848</v>
      </c>
    </row>
    <row r="58" spans="1:15" x14ac:dyDescent="0.25">
      <c r="A58" t="s">
        <v>15</v>
      </c>
      <c r="B58" t="s">
        <v>76</v>
      </c>
      <c r="C58">
        <v>3792.1499999999996</v>
      </c>
      <c r="D58">
        <v>2023.1575000000003</v>
      </c>
      <c r="E58">
        <v>1497.21</v>
      </c>
      <c r="F58">
        <v>117</v>
      </c>
      <c r="G58">
        <v>873.60000000000014</v>
      </c>
      <c r="H58">
        <v>196.56</v>
      </c>
      <c r="I58">
        <v>24194.444444444442</v>
      </c>
      <c r="J58">
        <v>1584</v>
      </c>
      <c r="K58">
        <v>225</v>
      </c>
      <c r="L58">
        <v>5918.2226769638064</v>
      </c>
      <c r="M58">
        <v>920.88</v>
      </c>
      <c r="N58">
        <v>572.90000000000009</v>
      </c>
      <c r="O58">
        <f t="shared" si="1"/>
        <v>41915.124621408249</v>
      </c>
    </row>
    <row r="59" spans="1:15" x14ac:dyDescent="0.25">
      <c r="A59" t="s">
        <v>15</v>
      </c>
      <c r="B59" t="s">
        <v>77</v>
      </c>
      <c r="C59">
        <v>1244.0249999999999</v>
      </c>
      <c r="D59">
        <v>127.17250000000001</v>
      </c>
      <c r="E59">
        <v>742.5</v>
      </c>
      <c r="F59">
        <v>123.75</v>
      </c>
      <c r="G59">
        <v>436.80000000000007</v>
      </c>
      <c r="H59">
        <v>165.09</v>
      </c>
      <c r="I59">
        <v>9533.3333333333321</v>
      </c>
      <c r="J59">
        <v>264</v>
      </c>
      <c r="K59">
        <v>275</v>
      </c>
      <c r="L59">
        <v>941.19676550292991</v>
      </c>
      <c r="M59">
        <v>525.24</v>
      </c>
      <c r="N59">
        <v>289</v>
      </c>
      <c r="O59">
        <f t="shared" si="1"/>
        <v>14667.107598836261</v>
      </c>
    </row>
    <row r="60" spans="1:15" x14ac:dyDescent="0.25">
      <c r="A60" t="s">
        <v>21</v>
      </c>
      <c r="B60" t="s">
        <v>78</v>
      </c>
      <c r="C60">
        <v>3406.0499999999997</v>
      </c>
      <c r="D60">
        <v>282.32750000000004</v>
      </c>
      <c r="E60">
        <v>259.71000000000004</v>
      </c>
      <c r="F60">
        <v>81</v>
      </c>
      <c r="G60">
        <v>257.60000000000002</v>
      </c>
      <c r="H60">
        <v>148.01999999999998</v>
      </c>
      <c r="I60">
        <v>5272.2222222222217</v>
      </c>
      <c r="J60">
        <v>352</v>
      </c>
      <c r="K60">
        <v>195</v>
      </c>
      <c r="L60">
        <v>415.64740905761698</v>
      </c>
      <c r="M60">
        <v>234.72</v>
      </c>
      <c r="N60">
        <v>271.49</v>
      </c>
      <c r="O60">
        <f t="shared" si="1"/>
        <v>11175.78713127984</v>
      </c>
    </row>
    <row r="61" spans="1:15" x14ac:dyDescent="0.25">
      <c r="A61" t="s">
        <v>19</v>
      </c>
      <c r="B61" t="s">
        <v>79</v>
      </c>
      <c r="C61">
        <v>7425.6749999999993</v>
      </c>
      <c r="D61">
        <v>163.34500000000003</v>
      </c>
      <c r="E61">
        <v>3482.82</v>
      </c>
      <c r="F61">
        <v>767.25</v>
      </c>
      <c r="G61">
        <v>548.80000000000007</v>
      </c>
      <c r="H61">
        <v>1063.71</v>
      </c>
      <c r="I61">
        <v>91914.814814814803</v>
      </c>
      <c r="J61">
        <v>528</v>
      </c>
      <c r="K61">
        <v>52.6</v>
      </c>
      <c r="L61">
        <v>3819.8188210200078</v>
      </c>
      <c r="M61">
        <v>3665.52</v>
      </c>
      <c r="N61">
        <v>1698.3000000000002</v>
      </c>
      <c r="O61">
        <f t="shared" si="1"/>
        <v>115130.65363583482</v>
      </c>
    </row>
    <row r="62" spans="1:15" x14ac:dyDescent="0.25">
      <c r="A62" t="s">
        <v>17</v>
      </c>
      <c r="B62" t="s">
        <v>80</v>
      </c>
      <c r="C62">
        <v>276.75</v>
      </c>
      <c r="D62">
        <v>558.96750000000009</v>
      </c>
      <c r="E62">
        <v>338.25</v>
      </c>
      <c r="F62">
        <v>153</v>
      </c>
      <c r="G62">
        <v>492.80000000000007</v>
      </c>
      <c r="H62">
        <v>96.99</v>
      </c>
      <c r="I62">
        <v>12386.111111111109</v>
      </c>
      <c r="J62">
        <v>352</v>
      </c>
      <c r="K62">
        <v>277</v>
      </c>
      <c r="L62">
        <v>1875.7704150390628</v>
      </c>
      <c r="M62">
        <v>446.4</v>
      </c>
      <c r="N62">
        <v>194.65</v>
      </c>
      <c r="O62">
        <f t="shared" si="1"/>
        <v>17448.689026150176</v>
      </c>
    </row>
    <row r="63" spans="1:15" x14ac:dyDescent="0.25">
      <c r="A63" t="s">
        <v>21</v>
      </c>
      <c r="B63" t="s">
        <v>81</v>
      </c>
      <c r="C63">
        <v>1032.075</v>
      </c>
      <c r="D63">
        <v>247.52</v>
      </c>
      <c r="E63">
        <v>94.710000000000008</v>
      </c>
      <c r="F63">
        <v>29.25</v>
      </c>
      <c r="G63">
        <v>168.00000000000003</v>
      </c>
      <c r="H63">
        <v>26.7</v>
      </c>
      <c r="I63">
        <v>8112.9629629629626</v>
      </c>
      <c r="J63">
        <v>254.2222222222222</v>
      </c>
      <c r="K63">
        <v>216.11764705882354</v>
      </c>
      <c r="L63">
        <v>911.13121691894492</v>
      </c>
      <c r="M63">
        <v>158.4</v>
      </c>
      <c r="N63">
        <v>54.400000000000006</v>
      </c>
      <c r="O63">
        <f t="shared" si="1"/>
        <v>11305.489049162952</v>
      </c>
    </row>
    <row r="64" spans="1:15" x14ac:dyDescent="0.25">
      <c r="B64" t="s">
        <v>82</v>
      </c>
      <c r="C64">
        <f>SUM(C2:C63)</f>
        <v>214316.75250091549</v>
      </c>
      <c r="D64">
        <f t="shared" ref="D64:O64" si="2">SUM(D2:D63)</f>
        <v>62831.7</v>
      </c>
      <c r="E64">
        <f t="shared" si="2"/>
        <v>116547.00750000005</v>
      </c>
      <c r="F64">
        <f t="shared" si="2"/>
        <v>20855.25</v>
      </c>
      <c r="G64">
        <f t="shared" si="2"/>
        <v>32883.199999999997</v>
      </c>
      <c r="H64">
        <f t="shared" si="2"/>
        <v>17017.740000000002</v>
      </c>
      <c r="I64">
        <f t="shared" si="2"/>
        <v>1624602.7777777773</v>
      </c>
      <c r="J64">
        <f t="shared" si="2"/>
        <v>38750.555555555547</v>
      </c>
      <c r="K64">
        <f t="shared" si="2"/>
        <v>10539.517647058827</v>
      </c>
      <c r="L64">
        <f t="shared" si="2"/>
        <v>140690.99881354012</v>
      </c>
      <c r="M64">
        <f t="shared" si="2"/>
        <v>65275.272002197264</v>
      </c>
      <c r="N64">
        <f t="shared" si="2"/>
        <v>37979.462001037595</v>
      </c>
      <c r="O64">
        <f t="shared" si="2"/>
        <v>2382290.2337980825</v>
      </c>
    </row>
  </sheetData>
  <sortState xmlns:xlrd2="http://schemas.microsoft.com/office/spreadsheetml/2017/richdata2" ref="A2:O63">
    <sortCondition ref="B2:B63"/>
  </sortState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8bf0e4-38d8-4cfc-9d6d-b598ab6367c8" xsi:nil="true"/>
    <lcf76f155ced4ddcb4097134ff3c332f xmlns="25ae632a-610f-46e4-928a-edaafa292b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EDAD0B1B0739469741D6FDF6FE7B20" ma:contentTypeVersion="15" ma:contentTypeDescription="Create a new document." ma:contentTypeScope="" ma:versionID="45857816dc93f5b3f0f67ddfd4652d2e">
  <xsd:schema xmlns:xsd="http://www.w3.org/2001/XMLSchema" xmlns:xs="http://www.w3.org/2001/XMLSchema" xmlns:p="http://schemas.microsoft.com/office/2006/metadata/properties" xmlns:ns2="cf3b11df-1b36-499e-bda4-a6d5e677c81c" xmlns:ns3="25ae632a-610f-46e4-928a-edaafa292bd4" xmlns:ns4="e48bf0e4-38d8-4cfc-9d6d-b598ab6367c8" targetNamespace="http://schemas.microsoft.com/office/2006/metadata/properties" ma:root="true" ma:fieldsID="91aac719aeed298444fd859e77f37f94" ns2:_="" ns3:_="" ns4:_="">
    <xsd:import namespace="cf3b11df-1b36-499e-bda4-a6d5e677c81c"/>
    <xsd:import namespace="25ae632a-610f-46e4-928a-edaafa292bd4"/>
    <xsd:import namespace="e48bf0e4-38d8-4cfc-9d6d-b598ab6367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b11df-1b36-499e-bda4-a6d5e677c8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e632a-610f-46e4-928a-edaafa292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bf0e4-38d8-4cfc-9d6d-b598ab636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fb2dfb-826b-4cc4-a565-9517a496ca36}" ma:internalName="TaxCatchAll" ma:showField="CatchAllData" ma:web="e48bf0e4-38d8-4cfc-9d6d-b598ab636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AC38A-2CE3-4470-A218-51C6AF28FC14}">
  <ds:schemaRefs>
    <ds:schemaRef ds:uri="http://schemas.microsoft.com/office/2006/metadata/properties"/>
    <ds:schemaRef ds:uri="http://schemas.microsoft.com/office/infopath/2007/PartnerControls"/>
    <ds:schemaRef ds:uri="e48bf0e4-38d8-4cfc-9d6d-b598ab6367c8"/>
    <ds:schemaRef ds:uri="25ae632a-610f-46e4-928a-edaafa292bd4"/>
  </ds:schemaRefs>
</ds:datastoreItem>
</file>

<file path=customXml/itemProps2.xml><?xml version="1.0" encoding="utf-8"?>
<ds:datastoreItem xmlns:ds="http://schemas.openxmlformats.org/officeDocument/2006/customXml" ds:itemID="{1E2408AD-CAB6-4EAE-8ABE-C5CA04664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b11df-1b36-499e-bda4-a6d5e677c81c"/>
    <ds:schemaRef ds:uri="25ae632a-610f-46e4-928a-edaafa292bd4"/>
    <ds:schemaRef ds:uri="e48bf0e4-38d8-4cfc-9d6d-b598ab636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D8EAB4-4F18-4806-BE66-8858B8E70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Keyel, Edward (Parks)</dc:creator>
  <cp:keywords/>
  <dc:description/>
  <cp:lastModifiedBy>奕成 董</cp:lastModifiedBy>
  <cp:revision/>
  <dcterms:created xsi:type="dcterms:W3CDTF">2018-12-28T12:57:28Z</dcterms:created>
  <dcterms:modified xsi:type="dcterms:W3CDTF">2026-04-05T02:46:53Z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0x01010012EDAD0B1B0739469741D6FDF6FE7B20</vt:lpwstr>
  </property>
  <property fmtid="{D5CDD505-2E9C-101B-9397-08002B2CF9AE}" pid="3" name="MediaServiceImageTags">
    <vt:lpwstr/>
  </property>
</Properties>
</file>